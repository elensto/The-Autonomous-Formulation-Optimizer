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f5827cd3904b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g Results" sheetId="1" r:id="R9f108070fd3240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"/>
    <x:numFmt numFmtId="202" formatCode="0.00%"/>
    <x:numFmt numFmtId="203" formatCode="0.0"/>
  </x:numFmts>
  <x:fonts count="6">
    <x:font>
      <x:sz val="11"/>
      <x:name val="Carlito"/>
    </x:font>
    <x:font>
      <x:sz val="11"/>
      <x:color rgb="FF243443"/>
      <x:name val="Arial"/>
    </x:font>
    <x:font>
      <x:b/>
      <x:sz val="16"/>
      <x:color rgb="FF142C3B"/>
      <x:name val="Arial"/>
    </x:font>
    <x:font>
      <x:sz val="10"/>
      <x:color rgb="FF5A6874"/>
      <x:name val="Arial"/>
    </x:font>
    <x:font>
      <x:i/>
      <x:sz val="10"/>
      <x:color rgb="FF5A6874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2C3B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879AA9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color rgb="FF236641"/>
      </x:font>
      <x:fill>
        <x:patternFill patternType="solid">
          <x:bgColor rgb="FFE0F0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afe8506a864927" /><Relationship Type="http://schemas.openxmlformats.org/officeDocument/2006/relationships/theme" Target="/xl/theme/theme1.xml" Id="R0a17d634ebfb49df" /><Relationship Type="http://schemas.openxmlformats.org/officeDocument/2006/relationships/sharedStrings" Target="/xl/sharedStrings.xml" Id="Rc6a4d44c93514ebe" /><Relationship Type="http://schemas.openxmlformats.org/officeDocument/2006/relationships/worksheet" Target="/xl/worksheets/sheet1.xml" Id="R9f108070fd324095" /></Relationships>
</file>

<file path=xl/tables/table1.xml><?xml version="1.0" encoding="utf-8"?>
<x:table xmlns:x="http://schemas.openxmlformats.org/spreadsheetml/2006/main" id="1" name="TgFormulations" displayName="TgFormulations" ref="B5:J13" headerRowCount="1" totalsRowCount="0" totalsRowShown="0">
  <x:autoFilter ref="B5:J13"/>
  <x:tableColumns count="9">
    <x:tableColumn id="1" name="Formulation ID"/>
    <x:tableColumn id="2" name="DGEBA (molecules)"/>
    <x:tableColumn id="3" name="DDS (molecules)"/>
    <x:tableColumn id="4" name="Amine/epoxy ratio"/>
    <x:tableColumn id="5" name="Degree of cure (%)"/>
    <x:tableColumn id="6" name="Tg (°C)"/>
    <x:tableColumn id="7" name="95% CI lower (°C)"/>
    <x:tableColumn id="8" name="95% CI upper (°C)"/>
    <x:tableColumn id="9" name="Within 150–220 °C targ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a495707c564a4e" /></Relationships>
</file>

<file path=xl/worksheets/sheet1.xml><?xml version="1.0" encoding="utf-8"?>
<x:worksheet xmlns:x="http://schemas.openxmlformats.org/spreadsheetml/2006/main">
  <x:sheetPr>
    <x:tabColor rgb="FF142C3B"/>
  </x:sheetPr>
  <x:sheetViews>
    <x:sheetView showGridLines="0" workbookViewId="0"/>
  </x:sheetViews>
  <x:sheetFormatPr defaultRowHeight="15"/>
  <x:cols>
    <x:col min="1" max="1" width="2.25" hidden="0" customWidth="1"/>
    <x:col min="2" max="2" width="19.75" hidden="0" customWidth="1"/>
    <x:col min="3" max="3" width="14.75" hidden="0" customWidth="1"/>
    <x:col min="4" max="4" width="14.75" hidden="0" customWidth="1"/>
    <x:col min="5" max="5" width="17.8799991607666" hidden="0" customWidth="1"/>
    <x:col min="6" max="6" width="19.3799991607666" hidden="0" customWidth="1"/>
    <x:col min="7" max="7" width="13" hidden="0" customWidth="1"/>
    <x:col min="8" max="8" width="19.3799991607666" hidden="0" customWidth="1"/>
    <x:col min="9" max="9" width="19.3799991607666" hidden="0" customWidth="1"/>
    <x:col min="10" max="10" width="21.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.25" customHeight="1">
      <x:c r="A2" s="2"/>
      <x:c r="B2" s="4" t="str">
        <x:v>DGEBA/DDS preliminary Tg results</x:v>
      </x:c>
      <x:c r="C2" s="5"/>
      <x:c r="D2" s="5"/>
      <x:c r="E2" s="5"/>
      <x:c r="F2" s="5"/>
      <x:c r="G2" s="5"/>
      <x:c r="H2" s="5"/>
      <x:c r="I2" s="5"/>
      <x:c r="J2" s="5"/>
    </x:row>
    <x:row r="3" ht="17.25" customHeight="1">
      <x:c r="A3" s="2"/>
      <x:c r="B3" s="6" t="str">
        <x:v>Source: Carbono MD campaign, final_eight_Tg.json, 22 October 2026.</x:v>
      </x:c>
      <x:c r="C3" s="6"/>
      <x:c r="D3" s="6"/>
      <x:c r="E3" s="6"/>
      <x:c r="F3" s="6"/>
      <x:c r="G3" s="6"/>
      <x:c r="H3" s="6"/>
      <x:c r="I3" s="6"/>
      <x:c r="J3" s="6"/>
    </x:row>
    <x:row r="4" ht="17.25" customHeight="1">
      <x:c r="A4" s="2"/>
      <x:c r="B4" s="7" t="str">
        <x:v>Degree of cure means epoxy conversion. Confidence intervals cover within-trajectory sampling only.</x:v>
      </x:c>
      <x:c r="C4" s="7"/>
      <x:c r="D4" s="7"/>
      <x:c r="E4" s="7"/>
      <x:c r="F4" s="7"/>
      <x:c r="G4" s="7"/>
      <x:c r="H4" s="7"/>
      <x:c r="I4" s="7"/>
      <x:c r="J4" s="7"/>
    </x:row>
    <x:row r="5" ht="36.75" customHeight="1">
      <x:c r="A5" s="2"/>
      <x:c r="B5" s="11" t="str">
        <x:v>Formulation ID</x:v>
      </x:c>
      <x:c r="C5" s="11" t="str">
        <x:v>DGEBA (molecules)</x:v>
      </x:c>
      <x:c r="D5" s="11" t="str">
        <x:v>DDS (molecules)</x:v>
      </x:c>
      <x:c r="E5" s="11" t="str">
        <x:v>Amine/epoxy ratio</x:v>
      </x:c>
      <x:c r="F5" s="11" t="str">
        <x:v>Degree of cure (%)</x:v>
      </x:c>
      <x:c r="G5" s="11" t="str">
        <x:v>Tg (°C)</x:v>
      </x:c>
      <x:c r="H5" s="11" t="str">
        <x:v>95% CI lower (°C)</x:v>
      </x:c>
      <x:c r="I5" s="11" t="str">
        <x:v>95% CI upper (°C)</x:v>
      </x:c>
      <x:c r="J5" s="11" t="str">
        <x:v>Within 150–220 °C target</x:v>
      </x:c>
    </x:row>
    <x:row r="6" ht="23.25" customHeight="1">
      <x:c r="A6" s="2"/>
      <x:c r="B6" s="12" t="str">
        <x:v>D088_H050</x:v>
      </x:c>
      <x:c r="C6" s="15" t="n">
        <x:v>88</x:v>
      </x:c>
      <x:c r="D6" s="15" t="n">
        <x:v>50</x:v>
      </x:c>
      <x:c r="E6" s="16" t="n">
        <x:f>4*D6/(2*C6)</x:f>
        <x:v>1.1363636363636365</x:v>
      </x:c>
      <x:c r="F6" s="17" t="n">
        <x:v>0.9034090909090909</x:v>
      </x:c>
      <x:c r="G6" s="18" t="n">
        <x:v>256.1866770806296</x:v>
      </x:c>
      <x:c r="H6" s="18" t="n">
        <x:v>242.26343221562252</x:v>
      </x:c>
      <x:c r="I6" s="18" t="n">
        <x:v>277.5302372695553</x:v>
      </x:c>
      <x:c r="J6" s="14" t="str">
        <x:f>IF(AND(G6&gt;=150,G6&lt;=220),"Yes","No")</x:f>
        <x:v>No</x:v>
      </x:c>
    </x:row>
    <x:row r="7" ht="23.25" customHeight="1">
      <x:c r="A7" s="2"/>
      <x:c r="B7" s="12" t="str">
        <x:v>D089_H050</x:v>
      </x:c>
      <x:c r="C7" s="15" t="n">
        <x:v>89</x:v>
      </x:c>
      <x:c r="D7" s="15" t="n">
        <x:v>50</x:v>
      </x:c>
      <x:c r="E7" s="16" t="n">
        <x:f>4*D7/(2*C7)</x:f>
        <x:v>1.1235955056179776</x:v>
      </x:c>
      <x:c r="F7" s="17" t="n">
        <x:v>0.9044943820224719</x:v>
      </x:c>
      <x:c r="G7" s="18" t="n">
        <x:v>238.2033893240366</x:v>
      </x:c>
      <x:c r="H7" s="18" t="n">
        <x:v>219.7161926276035</x:v>
      </x:c>
      <x:c r="I7" s="18" t="n">
        <x:v>245.83176445332924</x:v>
      </x:c>
      <x:c r="J7" s="14" t="str">
        <x:f>IF(AND(G7&gt;=150,G7&lt;=220),"Yes","No")</x:f>
        <x:v>No</x:v>
      </x:c>
    </x:row>
    <x:row r="8" ht="23.25" customHeight="1">
      <x:c r="A8" s="2"/>
      <x:c r="B8" s="12" t="str">
        <x:v>D090_H050</x:v>
      </x:c>
      <x:c r="C8" s="15" t="n">
        <x:v>90</x:v>
      </x:c>
      <x:c r="D8" s="15" t="n">
        <x:v>50</x:v>
      </x:c>
      <x:c r="E8" s="16" t="n">
        <x:f>4*D8/(2*C8)</x:f>
        <x:v>1.1111111111111112</x:v>
      </x:c>
      <x:c r="F8" s="17" t="n">
        <x:v>0.9</x:v>
      </x:c>
      <x:c r="G8" s="18" t="n">
        <x:v>296.39968519647755</x:v>
      </x:c>
      <x:c r="H8" s="18" t="n">
        <x:v>281.6555286413958</x:v>
      </x:c>
      <x:c r="I8" s="18" t="n">
        <x:v>305.17340149427196</x:v>
      </x:c>
      <x:c r="J8" s="14" t="str">
        <x:f>IF(AND(G8&gt;=150,G8&lt;=220),"Yes","No")</x:f>
        <x:v>No</x:v>
      </x:c>
    </x:row>
    <x:row r="9" ht="23.25" customHeight="1">
      <x:c r="A9" s="2"/>
      <x:c r="B9" s="12" t="str">
        <x:v>D100_H040</x:v>
      </x:c>
      <x:c r="C9" s="15" t="n">
        <x:v>100</x:v>
      </x:c>
      <x:c r="D9" s="15" t="n">
        <x:v>40</x:v>
      </x:c>
      <x:c r="E9" s="16" t="n">
        <x:f>4*D9/(2*C9)</x:f>
        <x:v>0.8</x:v>
      </x:c>
      <x:c r="F9" s="17" t="n">
        <x:v>0.73</x:v>
      </x:c>
      <x:c r="G9" s="18" t="n">
        <x:v>278.4239157929442</x:v>
      </x:c>
      <x:c r="H9" s="18" t="n">
        <x:v>257.8534819943278</x:v>
      </x:c>
      <x:c r="I9" s="18" t="n">
        <x:v>294.02727755850947</x:v>
      </x:c>
      <x:c r="J9" s="14" t="str">
        <x:f>IF(AND(G9&gt;=150,G9&lt;=220),"Yes","No")</x:f>
        <x:v>No</x:v>
      </x:c>
    </x:row>
    <x:row r="10" ht="23.25" customHeight="1">
      <x:c r="A10" s="2"/>
      <x:c r="B10" s="12" t="str">
        <x:v>D100_H041</x:v>
      </x:c>
      <x:c r="C10" s="15" t="n">
        <x:v>100</x:v>
      </x:c>
      <x:c r="D10" s="15" t="n">
        <x:v>41</x:v>
      </x:c>
      <x:c r="E10" s="16" t="n">
        <x:f>4*D10/(2*C10)</x:f>
        <x:v>0.82</x:v>
      </x:c>
      <x:c r="F10" s="17" t="n">
        <x:v>0.75</x:v>
      </x:c>
      <x:c r="G10" s="18" t="n">
        <x:v>244.81394583011433</x:v>
      </x:c>
      <x:c r="H10" s="18" t="n">
        <x:v>238.16843692454228</x:v>
      </x:c>
      <x:c r="I10" s="18" t="n">
        <x:v>294.7896853207874</x:v>
      </x:c>
      <x:c r="J10" s="14" t="str">
        <x:f>IF(AND(G10&gt;=150,G10&lt;=220),"Yes","No")</x:f>
        <x:v>No</x:v>
      </x:c>
    </x:row>
    <x:row r="11" ht="23.25" customHeight="1">
      <x:c r="A11" s="2"/>
      <x:c r="B11" s="12" t="str">
        <x:v>D100_H042</x:v>
      </x:c>
      <x:c r="C11" s="15" t="n">
        <x:v>100</x:v>
      </x:c>
      <x:c r="D11" s="15" t="n">
        <x:v>42</x:v>
      </x:c>
      <x:c r="E11" s="16" t="n">
        <x:f>4*D11/(2*C11)</x:f>
        <x:v>0.84</x:v>
      </x:c>
      <x:c r="F11" s="17" t="n">
        <x:v>0.78</x:v>
      </x:c>
      <x:c r="G11" s="18" t="n">
        <x:v>263.17185152677393</x:v>
      </x:c>
      <x:c r="H11" s="18" t="n">
        <x:v>253.21847700943943</x:v>
      </x:c>
      <x:c r="I11" s="18" t="n">
        <x:v>274.12217952885067</x:v>
      </x:c>
      <x:c r="J11" s="14" t="str">
        <x:f>IF(AND(G11&gt;=150,G11&lt;=220),"Yes","No")</x:f>
        <x:v>No</x:v>
      </x:c>
    </x:row>
    <x:row r="12" ht="23.25" customHeight="1">
      <x:c r="A12" s="2"/>
      <x:c r="B12" s="12" t="str">
        <x:v>D100_H044</x:v>
      </x:c>
      <x:c r="C12" s="15" t="n">
        <x:v>100</x:v>
      </x:c>
      <x:c r="D12" s="15" t="n">
        <x:v>44</x:v>
      </x:c>
      <x:c r="E12" s="16" t="n">
        <x:f>4*D12/(2*C12)</x:f>
        <x:v>0.88</x:v>
      </x:c>
      <x:c r="F12" s="17" t="n">
        <x:v>0.795</x:v>
      </x:c>
      <x:c r="G12" s="18" t="n">
        <x:v>240.4570271439012</x:v>
      </x:c>
      <x:c r="H12" s="18" t="n">
        <x:v>233.07286817163748</x:v>
      </x:c>
      <x:c r="I12" s="18" t="n">
        <x:v>248.39996314862753</x:v>
      </x:c>
      <x:c r="J12" s="14" t="str">
        <x:f>IF(AND(G12&gt;=150,G12&lt;=220),"Yes","No")</x:f>
        <x:v>No</x:v>
      </x:c>
    </x:row>
    <x:row r="13" ht="23.25" customHeight="1">
      <x:c r="A13" s="2"/>
      <x:c r="B13" s="12" t="str">
        <x:v>D100_H045</x:v>
      </x:c>
      <x:c r="C13" s="15" t="n">
        <x:v>100</x:v>
      </x:c>
      <x:c r="D13" s="15" t="n">
        <x:v>45</x:v>
      </x:c>
      <x:c r="E13" s="16" t="n">
        <x:f>4*D13/(2*C13)</x:f>
        <x:v>0.9</x:v>
      </x:c>
      <x:c r="F13" s="17" t="n">
        <x:v>0.82</x:v>
      </x:c>
      <x:c r="G13" s="18" t="n">
        <x:v>196.14436210026287</x:v>
      </x:c>
      <x:c r="H13" s="18" t="n">
        <x:v>189.92056450104354</x:v>
      </x:c>
      <x:c r="I13" s="18" t="n">
        <x:v>201.91510110324555</x:v>
      </x:c>
      <x:c r="J13" s="14" t="str">
        <x:f>IF(AND(G13&gt;=150,G13&lt;=220),"Yes","No")</x:f>
        <x:v>Yes</x:v>
      </x:c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</x:sheetData>
  <x:conditionalFormatting sqref="J6:J13">
    <x:cfRule type="cellIs" dxfId="0" priority="1" operator="equal">
      <x:formula>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a495707c564a4e"/>
  </x:tableParts>
</x:worksheet>
</file>